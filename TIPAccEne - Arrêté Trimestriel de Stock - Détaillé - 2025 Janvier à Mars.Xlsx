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Feuil1" sheetId="1"/>
  </sheets>
</workbook>
</file>

<file path=xl/sharedStrings.xml><?xml version="1.0" encoding="utf-8"?>
<sst xmlns="http://schemas.openxmlformats.org/spreadsheetml/2006/main" count="18" uniqueCount="18">
  <si>
    <t>Comptabilité Matière - Gasoil Non Routier</t>
  </si>
  <si>
    <t>Société : ETS STEPHANE JOSSEAUME</t>
  </si>
  <si>
    <t>Numéro d'autorisation : 08/2024/AMIENS</t>
  </si>
  <si>
    <t>1er Trimestre 2025 (Janvier - Février - Mars)</t>
  </si>
  <si>
    <t>Volume réel en Litres</t>
  </si>
  <si>
    <t>Date</t>
  </si>
  <si>
    <t>Stock Initial</t>
  </si>
  <si>
    <t>Entrées</t>
  </si>
  <si>
    <t>Sorties</t>
  </si>
  <si>
    <t>Stock Final</t>
  </si>
  <si>
    <t>N° BL</t>
  </si>
  <si>
    <t>Volume</t>
  </si>
  <si>
    <t>AGRICOLE /
FORESTIER
Volume</t>
  </si>
  <si>
    <t>Sans
Attestation
Volume</t>
  </si>
  <si>
    <t>Cumul Trimestriel</t>
  </si>
  <si>
    <t>Stock comptable au 31 Mars 2025</t>
  </si>
  <si>
    <t>Stock physique au 31 Mars 2025</t>
  </si>
  <si>
    <t>Ecart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</si>
</sst>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[$-40C]d\-mmm;@" numFmtId="164"/>
  </numFmts>
  <fonts count="6">
    <font>
      <sz val="10"/>
      <color auto="1"/>
      <name val="Arial"/>
      <charset val="1"/>
    </font>
    <font>
      <sz val="10"/>
      <color indexed="0"/>
      <name val="Arial"/>
      <charset val="1"/>
    </font>
    <font>
      <sz val="18"/>
      <color indexed="0"/>
      <name val="Calibri"/>
      <charset val="0"/>
    </font>
    <font>
      <sz val="14"/>
      <color indexed="0"/>
      <name val="Calibri"/>
      <charset val="0"/>
    </font>
    <font>
      <sz val="11"/>
      <color indexed="0"/>
      <name val="Calibri"/>
      <charset val="0"/>
    </font>
    <font>
      <sz val="11"/>
      <b/>
      <color indexed="0"/>
      <name val="Calibri"/>
      <charset val="0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</border>
    <border>
      <left style="medium">
        <color indexed="8"/>
      </left>
      <right/>
      <top style="medium">
        <color indexed="8"/>
      </top>
      <bottom style="medium">
        <color indexed="8"/>
      </bottom>
    </border>
    <border>
      <left/>
      <right/>
      <top style="medium">
        <color indexed="8"/>
      </top>
      <bottom style="medium">
        <color indexed="8"/>
      </bottom>
    </border>
    <border>
      <left/>
      <right style="medium">
        <color indexed="8"/>
      </right>
      <top style="medium">
        <color indexed="8"/>
      </top>
      <bottom style="medium">
        <color indexed="8"/>
      </bottom>
    </border>
    <border>
      <left/>
      <right/>
      <top style="medium">
        <color indexed="8"/>
      </top>
      <bottom/>
    </border>
    <border>
      <left/>
      <right/>
      <top/>
      <bottom style="medium">
        <color indexed="8"/>
      </bottom>
    </border>
    <border>
      <left style="medium">
        <color indexed="8"/>
      </left>
      <right/>
      <top style="medium">
        <color indexed="8"/>
      </top>
      <bottom/>
    </border>
    <border>
      <left style="thin">
        <color indexed="8"/>
      </left>
      <right/>
      <top style="medium">
        <color indexed="8"/>
      </top>
      <bottom style="thin">
        <color indexed="8"/>
      </bottom>
    </border>
    <border>
      <left/>
      <right/>
      <top style="medium">
        <color indexed="8"/>
      </top>
      <bottom style="thin">
        <color indexed="8"/>
      </bottom>
    </border>
    <border>
      <left/>
      <right style="medium">
        <color indexed="8"/>
      </right>
      <top style="medium">
        <color indexed="8"/>
      </top>
      <bottom style="thin">
        <color indexed="8"/>
      </bottom>
    </border>
    <border>
      <left style="medium">
        <color indexed="8"/>
      </left>
      <right style="thin">
        <color indexed="8"/>
      </right>
      <top/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medium">
        <color indexed="8"/>
      </right>
      <top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/>
      <top style="thin">
        <color indexed="8"/>
      </top>
      <bottom style="thin">
        <color indexed="8"/>
      </bottom>
    </border>
    <border>
      <left/>
      <right style="medium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/>
    </border>
    <border>
      <left style="medium">
        <color indexed="8"/>
      </left>
      <right/>
      <top style="thin">
        <color indexed="8"/>
      </top>
      <bottom/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medium">
        <color indexed="8"/>
      </left>
      <right/>
      <top style="thin">
        <color indexed="8"/>
      </top>
      <bottom style="medium">
        <color indexed="8"/>
      </bottom>
    </border>
    <border>
      <left/>
      <right/>
      <top style="thin">
        <color indexed="8"/>
      </top>
      <bottom style="medium">
        <color indexed="8"/>
      </bottom>
    </border>
    <border>
      <left/>
      <right style="thin">
        <color indexed="8"/>
      </right>
      <top style="thin">
        <color indexed="8"/>
      </top>
      <bottom style="medium">
        <color indexed="8"/>
      </bottom>
    </border>
  </borders>
  <cellStyleXfs count="1">
    <xf applyNumberFormat="0" applyFont="0" applyFill="0" applyBorder="0" applyAlignment="0" applyProtection="0" numFmtId="0" fontId="0" fillId="0" borderId="0"/>
  </cellStyleXfs>
  <cellXfs count="50">
    <xf applyNumberFormat="0" applyFont="0" applyFill="0" applyBorder="0" applyAlignment="0" applyProtection="0" numFmtId="0" fontId="0" fillId="0" borderId="0" xfId="0"/>
    <xf applyNumberFormat="1" applyFont="1" applyFill="1" applyBorder="1" applyAlignment="1" applyProtection="1" numFmtId="0" fontId="1" fillId="0" borderId="0">
      <alignment horizontal="left" vertical="center"/>
      <protection locked="1"/>
    </xf>
    <xf applyNumberFormat="1" applyFont="1" applyFill="1" applyBorder="1" applyAlignment="1" applyProtection="1" numFmtId="0" fontId="2" fillId="0" borderId="0">
      <alignment horizontal="center" vertical="center"/>
      <protection locked="1"/>
    </xf>
    <xf applyNumberFormat="1" applyFont="1" applyFill="1" applyBorder="1" applyAlignment="1" applyProtection="1" numFmtId="0" fontId="2" fillId="0" borderId="1">
      <alignment horizontal="center" vertical="center"/>
      <protection locked="1"/>
    </xf>
    <xf applyNumberFormat="1" applyFont="1" applyFill="1" applyBorder="1" applyAlignment="1" applyProtection="1" numFmtId="0" fontId="2" fillId="0" borderId="2">
      <alignment horizontal="center" vertical="center"/>
      <protection locked="1"/>
    </xf>
    <xf applyNumberFormat="1" applyFont="1" applyFill="1" applyBorder="1" applyAlignment="1" applyProtection="1" numFmtId="0" fontId="2" fillId="0" borderId="3">
      <alignment horizontal="center" vertical="center"/>
      <protection locked="1"/>
    </xf>
    <xf applyNumberFormat="1" applyFont="1" applyFill="1" applyBorder="1" applyAlignment="1" applyProtection="1" numFmtId="0" fontId="2" fillId="0" borderId="4">
      <alignment horizontal="center" vertical="center"/>
      <protection locked="1"/>
    </xf>
    <xf applyNumberFormat="1" applyFont="1" applyFill="1" applyBorder="1" applyAlignment="1" applyProtection="1" numFmtId="0" fontId="3" fillId="0" borderId="0">
      <alignment horizontal="center" vertical="center"/>
      <protection locked="1"/>
    </xf>
    <xf applyNumberFormat="1" applyFont="1" applyFill="1" applyBorder="1" applyAlignment="1" applyProtection="1" numFmtId="0" fontId="3" fillId="0" borderId="5">
      <alignment horizontal="center" vertical="center"/>
      <protection locked="1"/>
    </xf>
    <xf applyNumberFormat="1" applyFont="1" applyFill="1" applyBorder="1" applyAlignment="1" applyProtection="1" numFmtId="0" fontId="3" fillId="0" borderId="1">
      <alignment horizontal="center" vertical="center"/>
      <protection locked="1"/>
    </xf>
    <xf applyNumberFormat="1" applyFont="1" applyFill="1" applyBorder="1" applyAlignment="1" applyProtection="1" numFmtId="0" fontId="3" fillId="0" borderId="2">
      <alignment horizontal="center" vertical="center"/>
      <protection locked="1"/>
    </xf>
    <xf applyNumberFormat="1" applyFont="1" applyFill="1" applyBorder="1" applyAlignment="1" applyProtection="1" numFmtId="0" fontId="3" fillId="0" borderId="3">
      <alignment horizontal="center" vertical="center"/>
      <protection locked="1"/>
    </xf>
    <xf applyNumberFormat="1" applyFont="1" applyFill="1" applyBorder="1" applyAlignment="1" applyProtection="1" numFmtId="0" fontId="4" fillId="0" borderId="0">
      <alignment horizontal="center" vertical="bottom"/>
      <protection locked="1"/>
    </xf>
    <xf applyNumberFormat="1" applyFont="1" applyFill="1" applyBorder="1" applyAlignment="1" applyProtection="1" numFmtId="0" fontId="4" fillId="0" borderId="2">
      <alignment horizontal="center" vertical="bottom"/>
      <protection locked="1"/>
    </xf>
    <xf applyNumberFormat="1" applyFont="1" applyFill="1" applyBorder="1" applyAlignment="1" applyProtection="1" numFmtId="0" fontId="4" fillId="0" borderId="0">
      <alignment horizontal="left" vertical="bottom"/>
      <protection locked="1"/>
    </xf>
    <xf applyNumberFormat="1" applyFont="1" applyFill="1" applyBorder="1" applyAlignment="1" applyProtection="1" numFmtId="0" fontId="4" fillId="0" borderId="6">
      <alignment horizontal="left" vertical="bottom"/>
      <protection locked="1"/>
    </xf>
    <xf applyNumberFormat="1" applyFont="1" applyFill="1" applyBorder="1" applyAlignment="1" applyProtection="1" numFmtId="0" fontId="4" fillId="0" borderId="7">
      <alignment horizontal="center" vertical="center"/>
      <protection locked="1"/>
    </xf>
    <xf applyNumberFormat="1" applyFont="1" applyFill="1" applyBorder="1" applyAlignment="1" applyProtection="1" numFmtId="0" fontId="4" fillId="0" borderId="8">
      <alignment horizontal="center" vertical="center"/>
      <protection locked="1"/>
    </xf>
    <xf applyNumberFormat="1" applyFont="1" applyFill="1" applyBorder="1" applyAlignment="1" applyProtection="1" numFmtId="0" fontId="4" fillId="0" borderId="9">
      <alignment horizontal="center" vertical="center"/>
      <protection locked="1"/>
    </xf>
    <xf applyNumberFormat="1" applyFont="1" applyFill="1" applyBorder="1" applyAlignment="1" applyProtection="1" numFmtId="0" fontId="5" fillId="0" borderId="10">
      <alignment horizontal="center" vertical="center"/>
      <protection locked="1"/>
    </xf>
    <xf applyNumberFormat="1" applyFont="1" applyFill="1" applyBorder="1" applyAlignment="1" applyProtection="1" numFmtId="0" fontId="5" fillId="0" borderId="11">
      <alignment horizontal="center" vertical="center"/>
      <protection locked="1"/>
    </xf>
    <xf applyNumberFormat="1" applyFont="1" applyFill="1" applyBorder="1" applyAlignment="1" applyProtection="1" numFmtId="0" fontId="5" fillId="0" borderId="12">
      <alignment horizontal="center" vertical="bottom"/>
      <protection locked="1"/>
    </xf>
    <xf applyNumberFormat="1" applyFont="1" applyFill="1" applyBorder="1" applyAlignment="1" applyProtection="1" numFmtId="0" fontId="5" fillId="0" borderId="13">
      <alignment horizontal="center" vertical="bottom"/>
      <protection locked="1"/>
    </xf>
    <xf applyNumberFormat="1" applyFont="1" applyFill="1" applyBorder="1" applyAlignment="1" applyProtection="1" numFmtId="0" fontId="5" fillId="0" borderId="14">
      <alignment horizontal="center" vertical="bottom"/>
      <protection locked="1"/>
    </xf>
    <xf applyNumberFormat="1" applyFont="1" applyFill="1" applyBorder="1" applyAlignment="1" applyProtection="1" numFmtId="0" fontId="5" fillId="0" borderId="15">
      <alignment horizontal="center" vertical="center"/>
      <protection locked="1"/>
    </xf>
    <xf applyNumberFormat="1" applyFont="1" applyFill="1" applyBorder="1" applyAlignment="1" applyProtection="1" numFmtId="0" fontId="5" fillId="0" borderId="16">
      <alignment horizontal="center" vertical="center"/>
      <protection locked="1"/>
    </xf>
    <xf applyNumberFormat="1" applyFont="1" applyFill="1" applyBorder="1" applyAlignment="1" applyProtection="1" numFmtId="0" fontId="5" fillId="0" borderId="17">
      <alignment horizontal="center" vertical="center"/>
      <protection locked="1"/>
    </xf>
    <xf applyNumberFormat="1" applyFont="1" applyFill="1" applyBorder="1" applyAlignment="1" applyProtection="1" numFmtId="0" fontId="5" fillId="0" borderId="17">
      <alignment horizontal="center" vertical="center" wrapText="1"/>
      <protection locked="1"/>
    </xf>
    <xf applyNumberFormat="1" applyFont="1" applyFill="1" applyBorder="1" applyAlignment="1" applyProtection="1" numFmtId="0" fontId="5" fillId="0" borderId="18">
      <alignment horizontal="center" vertical="center"/>
      <protection locked="1"/>
    </xf>
    <xf applyNumberFormat="1" applyFont="1" applyFill="1" applyBorder="1" applyAlignment="1" applyProtection="1" numFmtId="164" fontId="4" fillId="0" borderId="19">
      <alignment horizontal="center" vertical="center"/>
      <protection locked="1"/>
    </xf>
    <xf applyNumberFormat="1" applyFont="1" applyFill="1" applyBorder="1" applyAlignment="1" applyProtection="1" numFmtId="3" fontId="4" fillId="0" borderId="17">
      <alignment horizontal="right" vertical="center"/>
      <protection locked="1"/>
    </xf>
    <xf applyNumberFormat="1" applyFont="1" applyFill="1" applyBorder="1" applyAlignment="1" applyProtection="1" numFmtId="0" fontId="4" fillId="0" borderId="17">
      <alignment horizontal="left" vertical="bottom"/>
      <protection locked="1"/>
    </xf>
    <xf applyNumberFormat="1" applyFont="1" applyFill="1" applyBorder="1" applyAlignment="1" applyProtection="1" numFmtId="3" fontId="4" fillId="0" borderId="20">
      <alignment horizontal="right" vertical="center"/>
      <protection locked="1"/>
    </xf>
    <xf applyNumberFormat="1" applyFont="1" applyFill="1" applyBorder="1" applyAlignment="1" applyProtection="1" numFmtId="164" fontId="4" fillId="0" borderId="21">
      <alignment horizontal="center" vertical="center"/>
      <protection locked="1"/>
    </xf>
    <xf applyNumberFormat="1" applyFont="1" applyFill="1" applyBorder="1" applyAlignment="1" applyProtection="1" numFmtId="3" fontId="4" fillId="0" borderId="22">
      <alignment horizontal="right" vertical="center"/>
      <protection locked="1"/>
    </xf>
    <xf applyNumberFormat="1" applyFont="1" applyFill="1" applyBorder="1" applyAlignment="1" applyProtection="1" numFmtId="0" fontId="4" fillId="0" borderId="23">
      <alignment horizontal="center" vertical="center"/>
      <protection locked="1"/>
    </xf>
    <xf applyNumberFormat="1" applyFont="1" applyFill="1" applyBorder="1" applyAlignment="1" applyProtection="1" numFmtId="0" fontId="4" fillId="0" borderId="24">
      <alignment horizontal="left" vertical="bottom"/>
      <protection locked="1"/>
    </xf>
    <xf applyNumberFormat="1" applyFont="1" applyFill="1" applyBorder="1" applyAlignment="1" applyProtection="1" numFmtId="3" fontId="4" fillId="0" borderId="24">
      <alignment horizontal="right" vertical="center"/>
      <protection locked="1"/>
    </xf>
    <xf applyNumberFormat="1" applyFont="1" applyFill="1" applyBorder="1" applyAlignment="1" applyProtection="1" numFmtId="3" fontId="4" fillId="0" borderId="25">
      <alignment horizontal="right" vertical="bottom"/>
      <protection locked="1"/>
    </xf>
    <xf applyNumberFormat="1" applyFont="1" applyFill="1" applyBorder="1" applyAlignment="1" applyProtection="1" numFmtId="0" fontId="5" fillId="0" borderId="6">
      <alignment horizontal="center" vertical="center"/>
      <protection locked="1"/>
    </xf>
    <xf applyNumberFormat="1" applyFont="1" applyFill="1" applyBorder="1" applyAlignment="1" applyProtection="1" numFmtId="0" fontId="5" fillId="0" borderId="4">
      <alignment horizontal="center" vertical="center"/>
      <protection locked="1"/>
    </xf>
    <xf applyNumberFormat="1" applyFont="1" applyFill="1" applyBorder="1" applyAlignment="1" applyProtection="1" numFmtId="3" fontId="4" fillId="0" borderId="26">
      <alignment horizontal="right" vertical="center"/>
      <protection locked="1"/>
    </xf>
    <xf applyNumberFormat="1" applyFont="1" applyFill="1" applyBorder="1" applyAlignment="1" applyProtection="1" numFmtId="0" fontId="5" fillId="0" borderId="27">
      <alignment horizontal="center" vertical="center"/>
      <protection locked="1"/>
    </xf>
    <xf applyNumberFormat="1" applyFont="1" applyFill="1" applyBorder="1" applyAlignment="1" applyProtection="1" numFmtId="0" fontId="5" fillId="0" borderId="28">
      <alignment horizontal="center" vertical="center"/>
      <protection locked="1"/>
    </xf>
    <xf applyNumberFormat="1" applyFont="1" applyFill="1" applyBorder="1" applyAlignment="1" applyProtection="1" numFmtId="0" fontId="5" fillId="0" borderId="29">
      <alignment horizontal="center" vertical="center"/>
      <protection locked="1"/>
    </xf>
    <xf applyNumberFormat="1" applyFont="1" applyFill="1" applyBorder="1" applyAlignment="1" applyProtection="1" numFmtId="3" fontId="4" fillId="0" borderId="15">
      <alignment horizontal="right" vertical="center"/>
      <protection locked="1"/>
    </xf>
    <xf applyNumberFormat="1" applyFont="1" applyFill="1" applyBorder="1" applyAlignment="1" applyProtection="1" numFmtId="0" fontId="5" fillId="0" borderId="30">
      <alignment horizontal="center" vertical="center"/>
      <protection locked="1"/>
    </xf>
    <xf applyNumberFormat="1" applyFont="1" applyFill="1" applyBorder="1" applyAlignment="1" applyProtection="1" numFmtId="0" fontId="5" fillId="0" borderId="31">
      <alignment horizontal="center" vertical="center"/>
      <protection locked="1"/>
    </xf>
    <xf applyNumberFormat="1" applyFont="1" applyFill="1" applyBorder="1" applyAlignment="1" applyProtection="1" numFmtId="0" fontId="5" fillId="0" borderId="32">
      <alignment horizontal="center" vertical="center"/>
      <protection locked="1"/>
    </xf>
    <xf applyNumberFormat="1" applyFont="1" applyFill="1" applyBorder="1" applyAlignment="1" applyProtection="1" numFmtId="3" fontId="4" fillId="0" borderId="25">
      <alignment horizontal="righ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/>
  </sheetPr>
  <sheetViews>
    <sheetView workbookViewId="0"/>
  </sheetViews>
  <sheetFormatPr defaultRowHeight="15" baseColWidth="10" customHeight="1"/>
  <cols>
    <col min="1" max="1" style="14" customWidth="1" width="17.71428571429"/>
    <col min="2" max="2" style="14" customWidth="1" width="11.71428571429"/>
    <col min="3" max="3" style="14" customWidth="1" width="11.71428571429"/>
    <col min="4" max="4" style="14" customWidth="1" width="11.71428571429"/>
    <col min="5" max="5" style="14" customWidth="1" width="11.71428571429"/>
    <col min="6" max="6" style="14" customWidth="1" width="11.71428571429"/>
    <col min="7" max="7" style="14" customWidth="1" width="11.71428571429"/>
  </cols>
  <sheetData>
    <row r="1" customHeight="1" ht="24" customFormat="1" s="14" spans="1:7">
      <c s="3" r="A1" t="s">
        <v>0</v>
      </c>
      <c s="4" r="B1"/>
      <c s="4" r="C1"/>
      <c s="4" r="D1"/>
      <c s="4" r="E1"/>
      <c s="4" r="F1"/>
      <c s="5" r="G1"/>
    </row>
    <row r="2" customHeight="1" ht="23.25" customFormat="1" s="14" spans="1:7">
      <c s="6" r="A2" t="s">
        <v>1</v>
      </c>
      <c s="6" r="B2"/>
      <c s="6" r="C2"/>
      <c s="6" r="D2"/>
      <c s="6" r="E2"/>
      <c s="6" r="F2"/>
      <c s="6" r="G2"/>
    </row>
    <row r="3" customHeight="1" ht="19.5" customFormat="1" s="14" spans="1:7">
      <c s="8" r="A3" t="s">
        <v>2</v>
      </c>
      <c s="8" r="B3"/>
      <c s="8" r="C3"/>
      <c s="8" r="D3"/>
      <c s="8" r="E3"/>
      <c s="8" r="F3"/>
      <c s="8" r="G3"/>
    </row>
    <row r="4" customHeight="1" ht="19.5" customFormat="1" s="14" spans="1:7">
      <c s="9" r="A4" t="s">
        <v>3</v>
      </c>
      <c s="10" r="B4"/>
      <c s="10" r="C4"/>
      <c s="10" r="D4"/>
      <c s="10" r="E4"/>
      <c s="10" r="F4"/>
      <c s="11" r="G4"/>
    </row>
    <row r="5" customHeight="1" ht="15.75" customFormat="1" s="14" spans="1:7">
      <c s="13" r="A5"/>
      <c s="13" r="B5"/>
      <c s="13" r="C5"/>
      <c s="13" r="D5"/>
      <c s="13" r="E5"/>
      <c s="13" r="F5"/>
      <c s="13" r="G5"/>
    </row>
    <row r="6" customFormat="1" s="14" spans="1:7">
      <c s="15" r="A6"/>
      <c s="16" r="B6" t="s">
        <v>4</v>
      </c>
      <c s="17" r="C6"/>
      <c s="17" r="D6"/>
      <c s="17" r="E6"/>
      <c s="17" r="F6"/>
      <c s="18" r="G6"/>
    </row>
    <row r="7" customFormat="1" s="14" spans="1:7">
      <c s="19" r="A7" t="s">
        <v>5</v>
      </c>
      <c s="20" r="B7" t="s">
        <v>6</v>
      </c>
      <c s="21" r="C7" t="s">
        <v>7</v>
      </c>
      <c s="22" r="D7"/>
      <c s="21" r="E7" t="s">
        <v>8</v>
      </c>
      <c s="23" r="F7"/>
      <c s="24" r="G7" t="s">
        <v>9</v>
      </c>
    </row>
    <row r="8" customHeight="1" ht="50.25" customFormat="1" s="14" spans="1:7">
      <c s="19" r="A8"/>
      <c s="25" r="B8"/>
      <c s="26" r="C8" t="s">
        <v>10</v>
      </c>
      <c s="26" r="D8" t="s">
        <v>11</v>
      </c>
      <c s="27" r="E8" t="s">
        <v>12</v>
      </c>
      <c s="27" r="F8" t="s">
        <v>13</v>
      </c>
      <c s="28" r="G8"/>
    </row>
    <row r="9" customFormat="1" s="14" spans="1:7">
      <c s="29" r="A9" t="n">
        <v>45659</v>
      </c>
      <c s="30" r="B9" t="n">
        <v>15022</v>
      </c>
      <c s="31" r="C9"/>
      <c s="30" r="D9" t="n">
        <v>10000</v>
      </c>
      <c s="30" r="E9" t="n">
        <v>2996</v>
      </c>
      <c s="30" r="F9" t="n">
        <v>0</v>
      </c>
      <c s="32" r="G9" t="n">
        <f xml:space="preserve"> B9 + D9 - E9 - F9</f>
        <v>22026</v>
      </c>
    </row>
    <row r="10" customFormat="1" s="14" spans="1:7">
      <c s="33" r="A10" t="n">
        <v>45664</v>
      </c>
      <c s="30" r="B10" t="n">
        <f xml:space="preserve"> G9</f>
        <v>22026</v>
      </c>
      <c s="31" r="C10"/>
      <c s="30" r="D10" t="n">
        <v>10000</v>
      </c>
      <c s="30" r="E10" t="n">
        <v>934</v>
      </c>
      <c s="30" r="F10" t="n">
        <v>0</v>
      </c>
      <c s="34" r="G10" t="n">
        <f xml:space="preserve"> B10 + D10 - E10 - F10</f>
        <v>31092</v>
      </c>
    </row>
    <row r="11" customFormat="1" s="14" spans="1:7">
      <c s="33" r="A11" t="n">
        <v>45665</v>
      </c>
      <c s="30" r="B11" t="n">
        <f xml:space="preserve"> G10</f>
        <v>31092</v>
      </c>
      <c s="31" r="C11"/>
      <c s="30" r="D11" t="n">
        <v>0</v>
      </c>
      <c s="30" r="E11" t="n">
        <v>5606</v>
      </c>
      <c s="30" r="F11" t="n">
        <v>0</v>
      </c>
      <c s="34" r="G11" t="n">
        <f xml:space="preserve"> B11 + D11 - E11 - F11</f>
        <v>25486</v>
      </c>
    </row>
    <row r="12" customFormat="1" s="14" spans="1:7">
      <c s="33" r="A12" t="n">
        <v>45666</v>
      </c>
      <c s="30" r="B12" t="n">
        <f xml:space="preserve"> G11</f>
        <v>25486</v>
      </c>
      <c s="31" r="C12"/>
      <c s="30" r="D12" t="n">
        <v>6000</v>
      </c>
      <c s="30" r="E12" t="n">
        <v>0</v>
      </c>
      <c s="30" r="F12" t="n">
        <v>0</v>
      </c>
      <c s="34" r="G12" t="n">
        <f xml:space="preserve"> B12 + D12 - E12 - F12</f>
        <v>31486</v>
      </c>
    </row>
    <row r="13" customFormat="1" s="14" spans="1:7">
      <c s="33" r="A13" t="n">
        <v>45667</v>
      </c>
      <c s="30" r="B13" t="n">
        <f xml:space="preserve"> G12</f>
        <v>31486</v>
      </c>
      <c s="31" r="C13"/>
      <c s="30" r="D13" t="n">
        <v>0</v>
      </c>
      <c s="30" r="E13" t="n">
        <v>920</v>
      </c>
      <c s="30" r="F13" t="n">
        <v>0</v>
      </c>
      <c s="34" r="G13" t="n">
        <f xml:space="preserve"> B13 + D13 - E13 - F13</f>
        <v>30566</v>
      </c>
    </row>
    <row r="14" customFormat="1" s="14" spans="1:7">
      <c s="33" r="A14" t="n">
        <v>45670</v>
      </c>
      <c s="30" r="B14" t="n">
        <f xml:space="preserve"> G13</f>
        <v>30566</v>
      </c>
      <c s="31" r="C14"/>
      <c s="30" r="D14" t="n">
        <v>0</v>
      </c>
      <c s="30" r="E14" t="n">
        <v>11709</v>
      </c>
      <c s="30" r="F14" t="n">
        <v>0</v>
      </c>
      <c s="34" r="G14" t="n">
        <f xml:space="preserve"> B14 + D14 - E14 - F14</f>
        <v>18857</v>
      </c>
    </row>
    <row r="15" customFormat="1" s="14" spans="1:7">
      <c s="33" r="A15" t="n">
        <v>45672</v>
      </c>
      <c s="30" r="B15" t="n">
        <f xml:space="preserve"> G14</f>
        <v>18857</v>
      </c>
      <c s="31" r="C15"/>
      <c s="30" r="D15" t="n">
        <v>8000</v>
      </c>
      <c s="30" r="E15" t="n">
        <v>0</v>
      </c>
      <c s="30" r="F15" t="n">
        <v>0</v>
      </c>
      <c s="34" r="G15" t="n">
        <f xml:space="preserve"> B15 + D15 - E15 - F15</f>
        <v>26857</v>
      </c>
    </row>
    <row r="16" customFormat="1" s="14" spans="1:7">
      <c s="33" r="A16" t="n">
        <v>45673</v>
      </c>
      <c s="30" r="B16" t="n">
        <f xml:space="preserve"> G15</f>
        <v>26857</v>
      </c>
      <c s="31" r="C16"/>
      <c s="30" r="D16" t="n">
        <v>0</v>
      </c>
      <c s="30" r="E16" t="n">
        <v>5551</v>
      </c>
      <c s="30" r="F16" t="n">
        <v>0</v>
      </c>
      <c s="34" r="G16" t="n">
        <f xml:space="preserve"> B16 + D16 - E16 - F16</f>
        <v>21306</v>
      </c>
    </row>
    <row r="17" customFormat="1" s="14" spans="1:7">
      <c s="33" r="A17" t="n">
        <v>45674</v>
      </c>
      <c s="30" r="B17" t="n">
        <f xml:space="preserve"> G16</f>
        <v>21306</v>
      </c>
      <c s="31" r="C17"/>
      <c s="30" r="D17" t="n">
        <v>10000</v>
      </c>
      <c s="30" r="E17" t="n">
        <v>0</v>
      </c>
      <c s="30" r="F17" t="n">
        <v>443</v>
      </c>
      <c s="34" r="G17" t="n">
        <f xml:space="preserve"> B17 + D17 - E17 - F17</f>
        <v>30863</v>
      </c>
    </row>
    <row r="18" customFormat="1" s="14" spans="1:7">
      <c s="33" r="A18" t="n">
        <v>45677</v>
      </c>
      <c s="30" r="B18" t="n">
        <f xml:space="preserve"> G17</f>
        <v>30863</v>
      </c>
      <c s="31" r="C18"/>
      <c s="30" r="D18" t="n">
        <v>6000</v>
      </c>
      <c s="30" r="E18" t="n">
        <v>14000</v>
      </c>
      <c s="30" r="F18" t="n">
        <v>500</v>
      </c>
      <c s="34" r="G18" t="n">
        <f xml:space="preserve"> B18 + D18 - E18 - F18</f>
        <v>22363</v>
      </c>
    </row>
    <row r="19" customFormat="1" s="14" spans="1:7">
      <c s="33" r="A19" t="n">
        <v>45678</v>
      </c>
      <c s="30" r="B19" t="n">
        <f xml:space="preserve"> G18</f>
        <v>22363</v>
      </c>
      <c s="31" r="C19"/>
      <c s="30" r="D19" t="n">
        <v>0</v>
      </c>
      <c s="30" r="E19" t="n">
        <v>2999</v>
      </c>
      <c s="30" r="F19" t="n">
        <v>1800</v>
      </c>
      <c s="34" r="G19" t="n">
        <f xml:space="preserve"> B19 + D19 - E19 - F19</f>
        <v>17564</v>
      </c>
    </row>
    <row r="20" customFormat="1" s="14" spans="1:7">
      <c s="33" r="A20" t="n">
        <v>45679</v>
      </c>
      <c s="30" r="B20" t="n">
        <f xml:space="preserve"> G19</f>
        <v>17564</v>
      </c>
      <c s="31" r="C20"/>
      <c s="30" r="D20" t="n">
        <v>0</v>
      </c>
      <c s="30" r="E20" t="n">
        <v>0</v>
      </c>
      <c s="30" r="F20" t="n">
        <v>2849</v>
      </c>
      <c s="34" r="G20" t="n">
        <f xml:space="preserve"> B20 + D20 - E20 - F20</f>
        <v>14715</v>
      </c>
    </row>
    <row r="21" customFormat="1" s="14" spans="1:7">
      <c s="33" r="A21" t="n">
        <v>45680</v>
      </c>
      <c s="30" r="B21" t="n">
        <f xml:space="preserve"> G20</f>
        <v>14715</v>
      </c>
      <c s="31" r="C21"/>
      <c s="30" r="D21" t="n">
        <v>0</v>
      </c>
      <c s="30" r="E21" t="n">
        <v>6330</v>
      </c>
      <c s="30" r="F21" t="n">
        <v>300</v>
      </c>
      <c s="34" r="G21" t="n">
        <f xml:space="preserve"> B21 + D21 - E21 - F21</f>
        <v>8085</v>
      </c>
    </row>
    <row r="22" customFormat="1" s="14" spans="1:7">
      <c s="33" r="A22" t="n">
        <v>45681</v>
      </c>
      <c s="30" r="B22" t="n">
        <f xml:space="preserve"> G21</f>
        <v>8085</v>
      </c>
      <c s="31" r="C22"/>
      <c s="30" r="D22" t="n">
        <v>24000</v>
      </c>
      <c s="30" r="E22" t="n">
        <v>2001</v>
      </c>
      <c s="30" r="F22" t="n">
        <v>0</v>
      </c>
      <c s="34" r="G22" t="n">
        <f xml:space="preserve"> B22 + D22 - E22 - F22</f>
        <v>30084</v>
      </c>
    </row>
    <row r="23" customFormat="1" s="14" spans="1:7">
      <c s="33" r="A23" t="n">
        <v>45687</v>
      </c>
      <c s="30" r="B23" t="n">
        <f xml:space="preserve"> G22</f>
        <v>30084</v>
      </c>
      <c s="31" r="C23"/>
      <c s="30" r="D23" t="n">
        <v>0</v>
      </c>
      <c s="30" r="E23" t="n">
        <v>1000</v>
      </c>
      <c s="30" r="F23" t="n">
        <v>120</v>
      </c>
      <c s="34" r="G23" t="n">
        <f xml:space="preserve"> B23 + D23 - E23 - F23</f>
        <v>28964</v>
      </c>
    </row>
    <row r="24" customFormat="1" s="14" spans="1:7">
      <c s="33" r="A24" t="n">
        <v>45688</v>
      </c>
      <c s="30" r="B24" t="n">
        <f xml:space="preserve"> G23</f>
        <v>28964</v>
      </c>
      <c s="31" r="C24"/>
      <c s="30" r="D24" t="n">
        <v>0</v>
      </c>
      <c s="30" r="E24" t="n">
        <v>5873</v>
      </c>
      <c s="30" r="F24" t="n">
        <v>0</v>
      </c>
      <c s="34" r="G24" t="n">
        <f xml:space="preserve"> B24 + D24 - E24 - F24</f>
        <v>23091</v>
      </c>
    </row>
    <row r="25" customFormat="1" s="14" spans="1:7">
      <c s="33" r="A25" t="n">
        <v>45691</v>
      </c>
      <c s="30" r="B25" t="n">
        <f xml:space="preserve"> G24</f>
        <v>23091</v>
      </c>
      <c s="31" r="C25"/>
      <c s="30" r="D25" t="n">
        <v>0</v>
      </c>
      <c s="30" r="E25" t="n">
        <v>0</v>
      </c>
      <c s="30" r="F25" t="n">
        <v>9000</v>
      </c>
      <c s="34" r="G25" t="n">
        <f xml:space="preserve"> B25 + D25 - E25 - F25</f>
        <v>14091</v>
      </c>
    </row>
    <row r="26" customFormat="1" s="14" spans="1:7">
      <c s="33" r="A26" t="n">
        <v>45692</v>
      </c>
      <c s="30" r="B26" t="n">
        <f xml:space="preserve"> G25</f>
        <v>14091</v>
      </c>
      <c s="31" r="C26"/>
      <c s="30" r="D26" t="n">
        <v>0</v>
      </c>
      <c s="30" r="E26" t="n">
        <v>3001</v>
      </c>
      <c s="30" r="F26" t="n">
        <v>0</v>
      </c>
      <c s="34" r="G26" t="n">
        <f xml:space="preserve"> B26 + D26 - E26 - F26</f>
        <v>11090</v>
      </c>
    </row>
    <row r="27" customFormat="1" s="14" spans="1:7">
      <c s="33" r="A27" t="n">
        <v>45693</v>
      </c>
      <c s="30" r="B27" t="n">
        <f xml:space="preserve"> G26</f>
        <v>11090</v>
      </c>
      <c s="31" r="C27"/>
      <c s="30" r="D27" t="n">
        <v>10000</v>
      </c>
      <c s="30" r="E27" t="n">
        <v>0</v>
      </c>
      <c s="30" r="F27" t="n">
        <v>1472</v>
      </c>
      <c s="34" r="G27" t="n">
        <f xml:space="preserve"> B27 + D27 - E27 - F27</f>
        <v>19618</v>
      </c>
    </row>
    <row r="28" customFormat="1" s="14" spans="1:7">
      <c s="33" r="A28" t="n">
        <v>45694</v>
      </c>
      <c s="30" r="B28" t="n">
        <f xml:space="preserve"> G27</f>
        <v>19618</v>
      </c>
      <c s="31" r="C28"/>
      <c s="30" r="D28" t="n">
        <v>0</v>
      </c>
      <c s="30" r="E28" t="n">
        <v>2000</v>
      </c>
      <c s="30" r="F28" t="n">
        <v>0</v>
      </c>
      <c s="34" r="G28" t="n">
        <f xml:space="preserve"> B28 + D28 - E28 - F28</f>
        <v>17618</v>
      </c>
    </row>
    <row r="29" customFormat="1" s="14" spans="1:7">
      <c s="33" r="A29" t="n">
        <v>45695</v>
      </c>
      <c s="30" r="B29" t="n">
        <f xml:space="preserve"> G28</f>
        <v>17618</v>
      </c>
      <c s="31" r="C29"/>
      <c s="30" r="D29" t="n">
        <v>10000</v>
      </c>
      <c s="30" r="E29" t="n">
        <v>0</v>
      </c>
      <c s="30" r="F29" t="n">
        <v>1938</v>
      </c>
      <c s="34" r="G29" t="n">
        <f xml:space="preserve"> B29 + D29 - E29 - F29</f>
        <v>25680</v>
      </c>
    </row>
    <row r="30" customFormat="1" s="14" spans="1:7">
      <c s="33" r="A30" t="n">
        <v>45699</v>
      </c>
      <c s="30" r="B30" t="n">
        <f xml:space="preserve"> G29</f>
        <v>25680</v>
      </c>
      <c s="31" r="C30"/>
      <c s="30" r="D30" t="n">
        <v>10000</v>
      </c>
      <c s="30" r="E30" t="n">
        <v>3985</v>
      </c>
      <c s="30" r="F30" t="n">
        <v>0</v>
      </c>
      <c s="34" r="G30" t="n">
        <f xml:space="preserve"> B30 + D30 - E30 - F30</f>
        <v>31695</v>
      </c>
    </row>
    <row r="31" customFormat="1" s="14" spans="1:7">
      <c s="33" r="A31" t="n">
        <v>45700</v>
      </c>
      <c s="30" r="B31" t="n">
        <f xml:space="preserve"> G30</f>
        <v>31695</v>
      </c>
      <c s="31" r="C31"/>
      <c s="30" r="D31" t="n">
        <v>0</v>
      </c>
      <c s="30" r="E31" t="n">
        <v>3657</v>
      </c>
      <c s="30" r="F31" t="n">
        <v>0</v>
      </c>
      <c s="34" r="G31" t="n">
        <f xml:space="preserve"> B31 + D31 - E31 - F31</f>
        <v>28038</v>
      </c>
    </row>
    <row r="32" customFormat="1" s="14" spans="1:7">
      <c s="33" r="A32" t="n">
        <v>45701</v>
      </c>
      <c s="30" r="B32" t="n">
        <f xml:space="preserve"> G31</f>
        <v>28038</v>
      </c>
      <c s="31" r="C32"/>
      <c s="30" r="D32" t="n">
        <v>0</v>
      </c>
      <c s="30" r="E32" t="n">
        <v>0</v>
      </c>
      <c s="30" r="F32" t="n">
        <v>1000</v>
      </c>
      <c s="34" r="G32" t="n">
        <f xml:space="preserve"> B32 + D32 - E32 - F32</f>
        <v>27038</v>
      </c>
    </row>
    <row r="33" customFormat="1" s="14" spans="1:7">
      <c s="33" r="A33" t="n">
        <v>45702</v>
      </c>
      <c s="30" r="B33" t="n">
        <f xml:space="preserve"> G32</f>
        <v>27038</v>
      </c>
      <c s="31" r="C33"/>
      <c s="30" r="D33" t="n">
        <v>0</v>
      </c>
      <c s="30" r="E33" t="n">
        <v>6555</v>
      </c>
      <c s="30" r="F33" t="n">
        <v>1644</v>
      </c>
      <c s="34" r="G33" t="n">
        <f xml:space="preserve"> B33 + D33 - E33 - F33</f>
        <v>18839</v>
      </c>
    </row>
    <row r="34" customFormat="1" s="14" spans="1:7">
      <c s="33" r="A34" t="n">
        <v>45705</v>
      </c>
      <c s="30" r="B34" t="n">
        <f xml:space="preserve"> G33</f>
        <v>18839</v>
      </c>
      <c s="31" r="C34"/>
      <c s="30" r="D34" t="n">
        <v>16000</v>
      </c>
      <c s="30" r="E34" t="n">
        <v>3633</v>
      </c>
      <c s="30" r="F34" t="n">
        <v>0</v>
      </c>
      <c s="34" r="G34" t="n">
        <f xml:space="preserve"> B34 + D34 - E34 - F34</f>
        <v>31206</v>
      </c>
    </row>
    <row r="35" customFormat="1" s="14" spans="1:7">
      <c s="33" r="A35" t="n">
        <v>45706</v>
      </c>
      <c s="30" r="B35" t="n">
        <f xml:space="preserve"> G34</f>
        <v>31206</v>
      </c>
      <c s="31" r="C35"/>
      <c s="30" r="D35" t="n">
        <v>0</v>
      </c>
      <c s="30" r="E35" t="n">
        <v>7255</v>
      </c>
      <c s="30" r="F35" t="n">
        <v>1398</v>
      </c>
      <c s="34" r="G35" t="n">
        <f xml:space="preserve"> B35 + D35 - E35 - F35</f>
        <v>22553</v>
      </c>
    </row>
    <row r="36" customFormat="1" s="14" spans="1:7">
      <c s="33" r="A36" t="n">
        <v>45707</v>
      </c>
      <c s="30" r="B36" t="n">
        <f xml:space="preserve"> G35</f>
        <v>22553</v>
      </c>
      <c s="31" r="C36"/>
      <c s="30" r="D36" t="n">
        <v>10000</v>
      </c>
      <c s="30" r="E36" t="n">
        <v>0</v>
      </c>
      <c s="30" r="F36" t="n">
        <v>0</v>
      </c>
      <c s="34" r="G36" t="n">
        <f xml:space="preserve"> B36 + D36 - E36 - F36</f>
        <v>32553</v>
      </c>
    </row>
    <row r="37" customFormat="1" s="14" spans="1:7">
      <c s="33" r="A37" t="n">
        <v>45709</v>
      </c>
      <c s="30" r="B37" t="n">
        <f xml:space="preserve"> G36</f>
        <v>32553</v>
      </c>
      <c s="31" r="C37"/>
      <c s="30" r="D37" t="n">
        <v>0</v>
      </c>
      <c s="30" r="E37" t="n">
        <v>665</v>
      </c>
      <c s="30" r="F37" t="n">
        <v>500</v>
      </c>
      <c s="34" r="G37" t="n">
        <f xml:space="preserve"> B37 + D37 - E37 - F37</f>
        <v>31388</v>
      </c>
    </row>
    <row r="38" customFormat="1" s="14" spans="1:7">
      <c s="33" r="A38" t="n">
        <v>45710</v>
      </c>
      <c s="30" r="B38" t="n">
        <f xml:space="preserve"> G37</f>
        <v>31388</v>
      </c>
      <c s="31" r="C38"/>
      <c s="30" r="D38" t="n">
        <v>0</v>
      </c>
      <c s="30" r="E38" t="n">
        <v>1000</v>
      </c>
      <c s="30" r="F38" t="n">
        <v>0</v>
      </c>
      <c s="34" r="G38" t="n">
        <f xml:space="preserve"> B38 + D38 - E38 - F38</f>
        <v>30388</v>
      </c>
    </row>
    <row r="39" customFormat="1" s="14" spans="1:7">
      <c s="33" r="A39" t="n">
        <v>45712</v>
      </c>
      <c s="30" r="B39" t="n">
        <f xml:space="preserve"> G38</f>
        <v>30388</v>
      </c>
      <c s="31" r="C39"/>
      <c s="30" r="D39" t="n">
        <v>0</v>
      </c>
      <c s="30" r="E39" t="n">
        <v>0</v>
      </c>
      <c s="30" r="F39" t="n">
        <v>1587</v>
      </c>
      <c s="34" r="G39" t="n">
        <f xml:space="preserve"> B39 + D39 - E39 - F39</f>
        <v>28801</v>
      </c>
    </row>
    <row r="40" customFormat="1" s="14" spans="1:7">
      <c s="33" r="A40" t="n">
        <v>45713</v>
      </c>
      <c s="30" r="B40" t="n">
        <f xml:space="preserve"> G39</f>
        <v>28801</v>
      </c>
      <c s="31" r="C40"/>
      <c s="30" r="D40" t="n">
        <v>4000</v>
      </c>
      <c s="30" r="E40" t="n">
        <v>0</v>
      </c>
      <c s="30" r="F40" t="n">
        <v>339</v>
      </c>
      <c s="34" r="G40" t="n">
        <f xml:space="preserve"> B40 + D40 - E40 - F40</f>
        <v>32462</v>
      </c>
    </row>
    <row r="41" customFormat="1" s="14" spans="1:7">
      <c s="33" r="A41" t="n">
        <v>45714</v>
      </c>
      <c s="30" r="B41" t="n">
        <f xml:space="preserve"> G40</f>
        <v>32462</v>
      </c>
      <c s="31" r="C41"/>
      <c s="30" r="D41" t="n">
        <v>0</v>
      </c>
      <c s="30" r="E41" t="n">
        <v>0</v>
      </c>
      <c s="30" r="F41" t="n">
        <v>482</v>
      </c>
      <c s="34" r="G41" t="n">
        <f xml:space="preserve"> B41 + D41 - E41 - F41</f>
        <v>31980</v>
      </c>
    </row>
    <row r="42" customFormat="1" s="14" spans="1:7">
      <c s="33" r="A42" t="n">
        <v>45715</v>
      </c>
      <c s="30" r="B42" t="n">
        <f xml:space="preserve"> G41</f>
        <v>31980</v>
      </c>
      <c s="31" r="C42"/>
      <c s="30" r="D42" t="n">
        <v>0</v>
      </c>
      <c s="30" r="E42" t="n">
        <v>500</v>
      </c>
      <c s="30" r="F42" t="n">
        <v>1706</v>
      </c>
      <c s="34" r="G42" t="n">
        <f xml:space="preserve"> B42 + D42 - E42 - F42</f>
        <v>29774</v>
      </c>
    </row>
    <row r="43" customFormat="1" s="14" spans="1:7">
      <c s="33" r="A43" t="n">
        <v>45716</v>
      </c>
      <c s="30" r="B43" t="n">
        <f xml:space="preserve"> G42</f>
        <v>29774</v>
      </c>
      <c s="31" r="C43"/>
      <c s="30" r="D43" t="n">
        <v>0</v>
      </c>
      <c s="30" r="E43" t="n">
        <v>0</v>
      </c>
      <c s="30" r="F43" t="n">
        <v>805</v>
      </c>
      <c s="34" r="G43" t="n">
        <f xml:space="preserve"> B43 + D43 - E43 - F43</f>
        <v>28969</v>
      </c>
    </row>
    <row r="44" customFormat="1" s="14" spans="1:7">
      <c s="33" r="A44" t="n">
        <v>45717</v>
      </c>
      <c s="30" r="B44" t="n">
        <f xml:space="preserve"> G43</f>
        <v>28969</v>
      </c>
      <c s="31" r="C44"/>
      <c s="30" r="D44" t="n">
        <v>0</v>
      </c>
      <c s="30" r="E44" t="n">
        <v>501</v>
      </c>
      <c s="30" r="F44" t="n">
        <v>0</v>
      </c>
      <c s="34" r="G44" t="n">
        <f xml:space="preserve"> B44 + D44 - E44 - F44</f>
        <v>28468</v>
      </c>
    </row>
    <row r="45" customFormat="1" s="14" spans="1:7">
      <c s="33" r="A45" t="n">
        <v>45719</v>
      </c>
      <c s="30" r="B45" t="n">
        <f xml:space="preserve"> G44</f>
        <v>28468</v>
      </c>
      <c s="31" r="C45"/>
      <c s="30" r="D45" t="n">
        <v>0</v>
      </c>
      <c s="30" r="E45" t="n">
        <v>5721</v>
      </c>
      <c s="30" r="F45" t="n">
        <v>738</v>
      </c>
      <c s="34" r="G45" t="n">
        <f xml:space="preserve"> B45 + D45 - E45 - F45</f>
        <v>22009</v>
      </c>
    </row>
    <row r="46" customFormat="1" s="14" spans="1:7">
      <c s="33" r="A46" t="n">
        <v>45720</v>
      </c>
      <c s="30" r="B46" t="n">
        <f xml:space="preserve"> G45</f>
        <v>22009</v>
      </c>
      <c s="31" r="C46"/>
      <c s="30" r="D46" t="n">
        <v>0</v>
      </c>
      <c s="30" r="E46" t="n">
        <v>3499</v>
      </c>
      <c s="30" r="F46" t="n">
        <v>1302</v>
      </c>
      <c s="34" r="G46" t="n">
        <f xml:space="preserve"> B46 + D46 - E46 - F46</f>
        <v>17208</v>
      </c>
    </row>
    <row r="47" customFormat="1" s="14" spans="1:7">
      <c s="33" r="A47" t="n">
        <v>45721</v>
      </c>
      <c s="30" r="B47" t="n">
        <f xml:space="preserve"> G46</f>
        <v>17208</v>
      </c>
      <c s="31" r="C47"/>
      <c s="30" r="D47" t="n">
        <v>10000</v>
      </c>
      <c s="30" r="E47" t="n">
        <v>6833</v>
      </c>
      <c s="30" r="F47" t="n">
        <v>4998</v>
      </c>
      <c s="34" r="G47" t="n">
        <f xml:space="preserve"> B47 + D47 - E47 - F47</f>
        <v>15377</v>
      </c>
    </row>
    <row r="48" customFormat="1" s="14" spans="1:7">
      <c s="33" r="A48" t="n">
        <v>45722</v>
      </c>
      <c s="30" r="B48" t="n">
        <f xml:space="preserve"> G47</f>
        <v>15377</v>
      </c>
      <c s="31" r="C48"/>
      <c s="30" r="D48" t="n">
        <v>0</v>
      </c>
      <c s="30" r="E48" t="n">
        <v>8076</v>
      </c>
      <c s="30" r="F48" t="n">
        <v>1629</v>
      </c>
      <c s="34" r="G48" t="n">
        <f xml:space="preserve"> B48 + D48 - E48 - F48</f>
        <v>5672</v>
      </c>
    </row>
    <row r="49" customFormat="1" s="14" spans="1:7">
      <c s="33" r="A49" t="n">
        <v>45723</v>
      </c>
      <c s="30" r="B49" t="n">
        <f xml:space="preserve"> G48</f>
        <v>5672</v>
      </c>
      <c s="31" r="C49"/>
      <c s="30" r="D49" t="n">
        <v>36000</v>
      </c>
      <c s="30" r="E49" t="n">
        <v>15501</v>
      </c>
      <c s="30" r="F49" t="n">
        <v>1634</v>
      </c>
      <c s="34" r="G49" t="n">
        <f xml:space="preserve"> B49 + D49 - E49 - F49</f>
        <v>24537</v>
      </c>
    </row>
    <row r="50" customFormat="1" s="14" spans="1:7">
      <c s="33" r="A50" t="n">
        <v>45724</v>
      </c>
      <c s="30" r="B50" t="n">
        <f xml:space="preserve"> G49</f>
        <v>24537</v>
      </c>
      <c s="31" r="C50"/>
      <c s="30" r="D50" t="n">
        <v>0</v>
      </c>
      <c s="30" r="E50" t="n">
        <v>499</v>
      </c>
      <c s="30" r="F50" t="n">
        <v>0</v>
      </c>
      <c s="34" r="G50" t="n">
        <f xml:space="preserve"> B50 + D50 - E50 - F50</f>
        <v>24038</v>
      </c>
    </row>
    <row r="51" customFormat="1" s="14" spans="1:7">
      <c s="33" r="A51" t="n">
        <v>45726</v>
      </c>
      <c s="30" r="B51" t="n">
        <f xml:space="preserve"> G50</f>
        <v>24038</v>
      </c>
      <c s="31" r="C51"/>
      <c s="30" r="D51" t="n">
        <v>8000</v>
      </c>
      <c s="30" r="E51" t="n">
        <v>1409</v>
      </c>
      <c s="30" r="F51" t="n">
        <v>1678</v>
      </c>
      <c s="34" r="G51" t="n">
        <f xml:space="preserve"> B51 + D51 - E51 - F51</f>
        <v>28951</v>
      </c>
    </row>
    <row r="52" customFormat="1" s="14" spans="1:7">
      <c s="33" r="A52" t="n">
        <v>45727</v>
      </c>
      <c s="30" r="B52" t="n">
        <f xml:space="preserve"> G51</f>
        <v>28951</v>
      </c>
      <c s="31" r="C52"/>
      <c s="30" r="D52" t="n">
        <v>0</v>
      </c>
      <c s="30" r="E52" t="n">
        <v>6179</v>
      </c>
      <c s="30" r="F52" t="n">
        <v>1903</v>
      </c>
      <c s="34" r="G52" t="n">
        <f xml:space="preserve"> B52 + D52 - E52 - F52</f>
        <v>20869</v>
      </c>
    </row>
    <row r="53" customFormat="1" s="14" spans="1:7">
      <c s="33" r="A53" t="n">
        <v>45728</v>
      </c>
      <c s="30" r="B53" t="n">
        <f xml:space="preserve"> G52</f>
        <v>20869</v>
      </c>
      <c s="31" r="C53"/>
      <c s="30" r="D53" t="n">
        <v>20000</v>
      </c>
      <c s="30" r="E53" t="n">
        <v>3000</v>
      </c>
      <c s="30" r="F53" t="n">
        <v>1671</v>
      </c>
      <c s="34" r="G53" t="n">
        <f xml:space="preserve"> B53 + D53 - E53 - F53</f>
        <v>36198</v>
      </c>
    </row>
    <row r="54" customFormat="1" s="14" spans="1:7">
      <c s="33" r="A54" t="n">
        <v>45729</v>
      </c>
      <c s="30" r="B54" t="n">
        <f xml:space="preserve"> G53</f>
        <v>36198</v>
      </c>
      <c s="31" r="C54"/>
      <c s="30" r="D54" t="n">
        <v>0</v>
      </c>
      <c s="30" r="E54" t="n">
        <v>2000</v>
      </c>
      <c s="30" r="F54" t="n">
        <v>3710</v>
      </c>
      <c s="34" r="G54" t="n">
        <f xml:space="preserve"> B54 + D54 - E54 - F54</f>
        <v>30488</v>
      </c>
    </row>
    <row r="55" customFormat="1" s="14" spans="1:7">
      <c s="33" r="A55" t="n">
        <v>45730</v>
      </c>
      <c s="30" r="B55" t="n">
        <f xml:space="preserve"> G54</f>
        <v>30488</v>
      </c>
      <c s="31" r="C55"/>
      <c s="30" r="D55" t="n">
        <v>10000</v>
      </c>
      <c s="30" r="E55" t="n">
        <v>10551</v>
      </c>
      <c s="30" r="F55" t="n">
        <v>4828</v>
      </c>
      <c s="34" r="G55" t="n">
        <f xml:space="preserve"> B55 + D55 - E55 - F55</f>
        <v>25109</v>
      </c>
    </row>
    <row r="56" customFormat="1" s="14" spans="1:7">
      <c s="33" r="A56" t="n">
        <v>45731</v>
      </c>
      <c s="30" r="B56" t="n">
        <f xml:space="preserve"> G55</f>
        <v>25109</v>
      </c>
      <c s="31" r="C56"/>
      <c s="30" r="D56" t="n">
        <v>0</v>
      </c>
      <c s="30" r="E56" t="n">
        <v>501</v>
      </c>
      <c s="30" r="F56" t="n">
        <v>0</v>
      </c>
      <c s="34" r="G56" t="n">
        <f xml:space="preserve"> B56 + D56 - E56 - F56</f>
        <v>24608</v>
      </c>
    </row>
    <row r="57" customFormat="1" s="14" spans="1:7">
      <c s="33" r="A57" t="n">
        <v>45733</v>
      </c>
      <c s="30" r="B57" t="n">
        <f xml:space="preserve"> G56</f>
        <v>24608</v>
      </c>
      <c s="31" r="C57"/>
      <c s="30" r="D57" t="n">
        <v>0</v>
      </c>
      <c s="30" r="E57" t="n">
        <v>0</v>
      </c>
      <c s="30" r="F57" t="n">
        <v>1923</v>
      </c>
      <c s="34" r="G57" t="n">
        <f xml:space="preserve"> B57 + D57 - E57 - F57</f>
        <v>22685</v>
      </c>
    </row>
    <row r="58" customFormat="1" s="14" spans="1:7">
      <c s="33" r="A58" t="n">
        <v>45734</v>
      </c>
      <c s="30" r="B58" t="n">
        <f xml:space="preserve"> G57</f>
        <v>22685</v>
      </c>
      <c s="31" r="C58"/>
      <c s="30" r="D58" t="n">
        <v>26000</v>
      </c>
      <c s="30" r="E58" t="n">
        <v>5864</v>
      </c>
      <c s="30" r="F58" t="n">
        <v>2010</v>
      </c>
      <c s="34" r="G58" t="n">
        <f xml:space="preserve"> B58 + D58 - E58 - F58</f>
        <v>40811</v>
      </c>
    </row>
    <row r="59" customFormat="1" s="14" spans="1:7">
      <c s="33" r="A59" t="n">
        <v>45735</v>
      </c>
      <c s="30" r="B59" t="n">
        <f xml:space="preserve"> G58</f>
        <v>40811</v>
      </c>
      <c s="31" r="C59"/>
      <c s="30" r="D59" t="n">
        <v>0</v>
      </c>
      <c s="30" r="E59" t="n">
        <v>5752</v>
      </c>
      <c s="30" r="F59" t="n">
        <v>4351</v>
      </c>
      <c s="34" r="G59" t="n">
        <f xml:space="preserve"> B59 + D59 - E59 - F59</f>
        <v>30708</v>
      </c>
    </row>
    <row r="60" customFormat="1" s="14" spans="1:7">
      <c s="33" r="A60" t="n">
        <v>45736</v>
      </c>
      <c s="30" r="B60" t="n">
        <f xml:space="preserve"> G59</f>
        <v>30708</v>
      </c>
      <c s="31" r="C60"/>
      <c s="30" r="D60" t="n">
        <v>14000</v>
      </c>
      <c s="30" r="E60" t="n">
        <v>0</v>
      </c>
      <c s="30" r="F60" t="n">
        <v>1869</v>
      </c>
      <c s="34" r="G60" t="n">
        <f xml:space="preserve"> B60 + D60 - E60 - F60</f>
        <v>42839</v>
      </c>
    </row>
    <row r="61" customFormat="1" s="14" spans="1:7">
      <c s="33" r="A61" t="n">
        <v>45737</v>
      </c>
      <c s="30" r="B61" t="n">
        <f xml:space="preserve"> G60</f>
        <v>42839</v>
      </c>
      <c s="31" r="C61"/>
      <c s="30" r="D61" t="n">
        <v>0</v>
      </c>
      <c s="30" r="E61" t="n">
        <v>1500</v>
      </c>
      <c s="30" r="F61" t="n">
        <v>2061</v>
      </c>
      <c s="34" r="G61" t="n">
        <f xml:space="preserve"> B61 + D61 - E61 - F61</f>
        <v>39278</v>
      </c>
    </row>
    <row r="62" customFormat="1" s="14" spans="1:7">
      <c s="33" r="A62" t="n">
        <v>45740</v>
      </c>
      <c s="30" r="B62" t="n">
        <f xml:space="preserve"> G61</f>
        <v>39278</v>
      </c>
      <c s="31" r="C62"/>
      <c s="30" r="D62" t="n">
        <v>0</v>
      </c>
      <c s="30" r="E62" t="n">
        <v>3886</v>
      </c>
      <c s="30" r="F62" t="n">
        <v>597</v>
      </c>
      <c s="34" r="G62" t="n">
        <f xml:space="preserve"> B62 + D62 - E62 - F62</f>
        <v>34795</v>
      </c>
    </row>
    <row r="63" customFormat="1" s="14" spans="1:7">
      <c s="33" r="A63" t="n">
        <v>45741</v>
      </c>
      <c s="30" r="B63" t="n">
        <f xml:space="preserve"> G62</f>
        <v>34795</v>
      </c>
      <c s="31" r="C63"/>
      <c s="30" r="D63" t="n">
        <v>0</v>
      </c>
      <c s="30" r="E63" t="n">
        <v>0</v>
      </c>
      <c s="30" r="F63" t="n">
        <v>601</v>
      </c>
      <c s="34" r="G63" t="n">
        <f xml:space="preserve"> B63 + D63 - E63 - F63</f>
        <v>34194</v>
      </c>
    </row>
    <row r="64" customFormat="1" s="14" spans="1:7">
      <c s="33" r="A64" t="n">
        <v>45742</v>
      </c>
      <c s="30" r="B64" t="n">
        <f xml:space="preserve"> G63</f>
        <v>34194</v>
      </c>
      <c s="31" r="C64"/>
      <c s="30" r="D64" t="n">
        <v>0</v>
      </c>
      <c s="30" r="E64" t="n">
        <v>4501</v>
      </c>
      <c s="30" r="F64" t="n">
        <v>885</v>
      </c>
      <c s="34" r="G64" t="n">
        <f xml:space="preserve"> B64 + D64 - E64 - F64</f>
        <v>28808</v>
      </c>
    </row>
    <row r="65" customFormat="1" s="14" spans="1:7">
      <c s="33" r="A65" t="n">
        <v>45743</v>
      </c>
      <c s="30" r="B65" t="n">
        <f xml:space="preserve"> G64</f>
        <v>28808</v>
      </c>
      <c s="31" r="C65"/>
      <c s="30" r="D65" t="n">
        <v>0</v>
      </c>
      <c s="30" r="E65" t="n">
        <v>2976</v>
      </c>
      <c s="30" r="F65" t="n">
        <v>1473</v>
      </c>
      <c s="34" r="G65" t="n">
        <f xml:space="preserve"> B65 + D65 - E65 - F65</f>
        <v>24359</v>
      </c>
    </row>
    <row r="66" customFormat="1" s="14" spans="1:7">
      <c s="33" r="A66" t="n">
        <v>45744</v>
      </c>
      <c s="30" r="B66" t="n">
        <f xml:space="preserve"> G65</f>
        <v>24359</v>
      </c>
      <c s="31" r="C66"/>
      <c s="30" r="D66" t="n">
        <v>19200</v>
      </c>
      <c s="30" r="E66" t="n">
        <v>2454</v>
      </c>
      <c s="30" r="F66" t="n">
        <v>825</v>
      </c>
      <c s="34" r="G66" t="n">
        <f xml:space="preserve"> B66 + D66 - E66 - F66</f>
        <v>40280</v>
      </c>
    </row>
    <row r="67" customFormat="1" s="14" spans="1:7">
      <c s="33" r="A67" t="n">
        <v>45747</v>
      </c>
      <c s="30" r="B67" t="n">
        <f xml:space="preserve"> G66</f>
        <v>40280</v>
      </c>
      <c s="31" r="C67"/>
      <c s="30" r="D67" t="n">
        <v>0</v>
      </c>
      <c s="30" r="E67" t="n">
        <v>1998</v>
      </c>
      <c s="30" r="F67" t="n">
        <v>0</v>
      </c>
      <c s="34" r="G67" t="n">
        <f xml:space="preserve"> B67 + D67 - E67 - F67</f>
        <v>38282</v>
      </c>
    </row>
    <row r="68" customHeight="1" ht="15.75" customFormat="1" s="14" spans="1:7">
      <c s="35" r="A68" t="s">
        <v>14</v>
      </c>
      <c s="36" r="B68"/>
      <c s="36" r="C68"/>
      <c s="37" r="D68" t="n">
        <f xml:space="preserve"> SUM( D9:D67 )</f>
        <v>277200</v>
      </c>
      <c s="37" r="E68" t="n">
        <f xml:space="preserve"> SUM( E9:E67 )</f>
        <v>185371</v>
      </c>
      <c s="37" r="F68" t="n">
        <f xml:space="preserve"> SUM( F9:F67 )</f>
        <v>68569</v>
      </c>
      <c s="38" r="G68"/>
    </row>
    <row r="69" customHeight="1" ht="15.75" customFormat="1" s="14" spans="1:1"/>
    <row r="70" customFormat="1" s="14" spans="4:7">
      <c s="39" r="D70" t="s">
        <v>15</v>
      </c>
      <c s="40" r="E70"/>
      <c s="40" r="F70"/>
      <c s="41" r="G70" t="n">
        <f xml:space="preserve"> G67</f>
        <v>38282</v>
      </c>
    </row>
    <row r="71" customFormat="1" s="14" spans="4:7">
      <c s="42" r="D71" t="s">
        <v>16</v>
      </c>
      <c s="43" r="E71"/>
      <c s="44" r="F71"/>
      <c s="45" r="G71" t="n">
        <v>38282</v>
      </c>
    </row>
    <row r="72" customHeight="1" ht="15.75" customFormat="1" s="14" spans="4:7">
      <c s="46" r="D72" t="s">
        <v>17</v>
      </c>
      <c s="47" r="E72"/>
      <c s="48" r="F72"/>
      <c s="49" r="G72" t="n">
        <f xml:space="preserve"> G71 - G70</f>
        <v>0</v>
      </c>
    </row>
  </sheetData>
  <mergeCells count="14">
    <mergeCell ref="A1:G1"/>
    <mergeCell ref="A2:G2"/>
    <mergeCell ref="A3:G3"/>
    <mergeCell ref="A4:G4"/>
    <mergeCell ref="A5:G5"/>
    <mergeCell ref="A7:A8"/>
    <mergeCell ref="B6:G6"/>
    <mergeCell ref="B7:B8"/>
    <mergeCell ref="C7:D7"/>
    <mergeCell ref="D70:F70"/>
    <mergeCell ref="D71:F71"/>
    <mergeCell ref="D72:F72"/>
    <mergeCell ref="E7:F7"/>
    <mergeCell ref="G7:G8"/>
  </mergeCells>
  <printOptions/>
  <pageMargins left="0.7" right="0.7" top="0.75" bottom="0.75" header="0.3" footer="0.3"/>
  <pageSetup paperSize="9"/>
</worksheet>
</file>